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  <sheet state="visible" name="Sensitivity Report 1 (Sheet)" sheetId="2" r:id="rId6"/>
  </sheets>
  <definedNames/>
  <calcPr/>
</workbook>
</file>

<file path=xl/sharedStrings.xml><?xml version="1.0" encoding="utf-8"?>
<sst xmlns="http://schemas.openxmlformats.org/spreadsheetml/2006/main" count="72" uniqueCount="46">
  <si>
    <t>SolveSheet Sensitivity Report</t>
  </si>
  <si>
    <t>Source Sheet:</t>
  </si>
  <si>
    <t>Sheet</t>
  </si>
  <si>
    <t>Виробнича модель, варіант 13</t>
  </si>
  <si>
    <t>Solver Engine:</t>
  </si>
  <si>
    <t>Simplex LP (jsLPSolver)</t>
  </si>
  <si>
    <t>Solve Time:</t>
  </si>
  <si>
    <t>2 ms</t>
  </si>
  <si>
    <t>Objective Cell (Max)</t>
  </si>
  <si>
    <t>Cell</t>
  </si>
  <si>
    <t>Astro</t>
  </si>
  <si>
    <t>Cosmo</t>
  </si>
  <si>
    <t>Nova</t>
  </si>
  <si>
    <t>Vega</t>
  </si>
  <si>
    <t>Name</t>
  </si>
  <si>
    <t>Final Value</t>
  </si>
  <si>
    <t>Разом / запас</t>
  </si>
  <si>
    <t>Sheet!B14</t>
  </si>
  <si>
    <t>Кількість</t>
  </si>
  <si>
    <t>Variable Cells</t>
  </si>
  <si>
    <t>Прибуток за одиницю</t>
  </si>
  <si>
    <t>Reduced Cost</t>
  </si>
  <si>
    <t>Objective Coefficient</t>
  </si>
  <si>
    <t>Allowable Increase</t>
  </si>
  <si>
    <t>Allowable Decrease</t>
  </si>
  <si>
    <t>Sheet!B4</t>
  </si>
  <si>
    <t>Ресурс</t>
  </si>
  <si>
    <t>Sheet!C4</t>
  </si>
  <si>
    <t>Використано / запас</t>
  </si>
  <si>
    <t>Конвеєр A</t>
  </si>
  <si>
    <t>1E+30</t>
  </si>
  <si>
    <t>Sheet!D4</t>
  </si>
  <si>
    <t>Sheet!E4</t>
  </si>
  <si>
    <t>Constraints</t>
  </si>
  <si>
    <t>Shadow Price</t>
  </si>
  <si>
    <t>Constraint R.H. Side</t>
  </si>
  <si>
    <t>Sheet!F8</t>
  </si>
  <si>
    <t>Sheet!F9</t>
  </si>
  <si>
    <t>Sheet!F10</t>
  </si>
  <si>
    <t>Sheet!F11</t>
  </si>
  <si>
    <t>Sheet!F12</t>
  </si>
  <si>
    <t>Конвеєр Б</t>
  </si>
  <si>
    <t>Цех кінескопів</t>
  </si>
  <si>
    <t>Цех корпусів</t>
  </si>
  <si>
    <t>Ділянка збирання</t>
  </si>
  <si>
    <t>Загальний прибуток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</si>
</sst>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8E8E8"/>
        <bgColor rgb="FFE8E8E8"/>
      </patternFill>
    </fill>
  </fills>
  <borders count="2">
    <border/>
    <border>
      <bottom style="thin">
        <color rgb="FFD0D0D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horizontal="center" vertical="center"/>
    </xf>
    <xf borderId="0" fillId="2" fontId="3" numFmtId="0" xfId="0" applyFill="1" applyFont="1"/>
    <xf borderId="0" fillId="0" fontId="2" numFmtId="0" xfId="0" applyAlignment="1" applyFont="1">
      <alignment horizontal="center" vertical="center"/>
    </xf>
    <xf borderId="1" fillId="3" fontId="2" numFmtId="0" xfId="0" applyAlignment="1" applyBorder="1" applyFill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5" width="14.0"/>
    <col customWidth="1" min="6" max="6" width="22.0"/>
    <col customWidth="1" min="7" max="26" width="8.71"/>
  </cols>
  <sheetData>
    <row r="1">
      <c r="A1" s="4" t="s">
        <v>3</v>
      </c>
      <c r="B1" s="6"/>
      <c r="C1" s="6"/>
      <c r="D1" s="6"/>
      <c r="E1" s="6"/>
      <c r="F1" s="6"/>
    </row>
    <row r="2">
      <c r="A2" s="6"/>
      <c r="B2" s="6"/>
      <c r="C2" s="6"/>
      <c r="D2" s="6"/>
      <c r="E2" s="6"/>
      <c r="F2" s="6"/>
    </row>
    <row r="3">
      <c r="A3" s="8"/>
      <c r="B3" s="8" t="s">
        <v>10</v>
      </c>
      <c r="C3" s="8" t="s">
        <v>11</v>
      </c>
      <c r="D3" s="8" t="s">
        <v>12</v>
      </c>
      <c r="E3" s="8" t="s">
        <v>13</v>
      </c>
      <c r="F3" s="8" t="s">
        <v>16</v>
      </c>
    </row>
    <row r="4">
      <c r="A4" s="10" t="s">
        <v>18</v>
      </c>
      <c r="B4" s="12">
        <v>69.83333333</v>
      </c>
      <c r="C4" s="12">
        <v>0.0</v>
      </c>
      <c r="D4" s="10">
        <v>0.0</v>
      </c>
      <c r="E4" s="12">
        <v>323.66666667</v>
      </c>
      <c r="F4" s="6"/>
    </row>
    <row r="5">
      <c r="A5" s="6" t="s">
        <v>20</v>
      </c>
      <c r="B5" s="6">
        <v>59.0</v>
      </c>
      <c r="C5" s="6">
        <v>42.0</v>
      </c>
      <c r="D5" s="6">
        <v>53.0</v>
      </c>
      <c r="E5" s="6">
        <v>19.0</v>
      </c>
      <c r="F5" s="6"/>
    </row>
    <row r="6">
      <c r="A6" s="6"/>
      <c r="B6" s="6"/>
      <c r="C6" s="6"/>
      <c r="D6" s="6"/>
      <c r="E6" s="6"/>
      <c r="F6" s="6"/>
    </row>
    <row r="7">
      <c r="A7" s="8" t="s">
        <v>26</v>
      </c>
      <c r="B7" s="8" t="s">
        <v>10</v>
      </c>
      <c r="C7" s="8" t="s">
        <v>11</v>
      </c>
      <c r="D7" s="8" t="s">
        <v>12</v>
      </c>
      <c r="E7" s="8" t="s">
        <v>13</v>
      </c>
      <c r="F7" s="8" t="s">
        <v>28</v>
      </c>
    </row>
    <row r="8">
      <c r="A8" s="6" t="s">
        <v>29</v>
      </c>
      <c r="B8" s="6">
        <v>1.0</v>
      </c>
      <c r="C8" s="6">
        <v>5.0</v>
      </c>
      <c r="D8" s="6">
        <v>3.0</v>
      </c>
      <c r="E8" s="6">
        <v>0.0</v>
      </c>
      <c r="F8" s="6">
        <f>937 - SUMPRODUCT(B8:E8,B4:E4)</f>
        <v>867.1666667</v>
      </c>
    </row>
    <row r="9">
      <c r="A9" s="6" t="s">
        <v>41</v>
      </c>
      <c r="B9" s="6">
        <v>6.0</v>
      </c>
      <c r="C9" s="6">
        <v>4.0</v>
      </c>
      <c r="D9" s="6">
        <v>6.0</v>
      </c>
      <c r="E9" s="6">
        <v>3.0</v>
      </c>
      <c r="F9" s="6">
        <f>1390 - SUMPRODUCT(B9:E9,B4:E4)</f>
        <v>0.00000001000012162</v>
      </c>
    </row>
    <row r="10">
      <c r="A10" s="6" t="s">
        <v>42</v>
      </c>
      <c r="B10" s="6">
        <v>4.0</v>
      </c>
      <c r="C10" s="6">
        <v>4.0</v>
      </c>
      <c r="D10" s="6">
        <v>4.0</v>
      </c>
      <c r="E10" s="6">
        <v>1.0</v>
      </c>
      <c r="F10" s="6">
        <f>603 - SUMPRODUCT(B10:E10,B4:E4)</f>
        <v>0.00000001000000793</v>
      </c>
    </row>
    <row r="11">
      <c r="A11" s="6" t="s">
        <v>43</v>
      </c>
      <c r="B11" s="6">
        <v>0.0</v>
      </c>
      <c r="C11" s="6">
        <v>3.0</v>
      </c>
      <c r="D11" s="6">
        <v>5.0</v>
      </c>
      <c r="E11" s="6">
        <v>3.0</v>
      </c>
      <c r="F11" s="6">
        <f> 1120 - SUMPRODUCT(B11:E11,B4:E4)</f>
        <v>149</v>
      </c>
    </row>
    <row r="12">
      <c r="A12" s="6" t="s">
        <v>44</v>
      </c>
      <c r="B12" s="6">
        <v>3.0</v>
      </c>
      <c r="C12" s="6">
        <v>5.0</v>
      </c>
      <c r="D12" s="6">
        <v>3.0</v>
      </c>
      <c r="E12" s="6">
        <v>3.0</v>
      </c>
      <c r="F12" s="6">
        <f> 1334 - SUMPRODUCT(B12:E12,B4:E4)</f>
        <v>153.5</v>
      </c>
    </row>
    <row r="13">
      <c r="A13" s="6"/>
      <c r="B13" s="6"/>
      <c r="C13" s="6"/>
      <c r="D13" s="6"/>
      <c r="E13" s="6"/>
      <c r="F13" s="6"/>
    </row>
    <row r="14">
      <c r="A14" s="8" t="s">
        <v>45</v>
      </c>
      <c r="B14" s="8">
        <f>SUMPRODUCT(B4:E4,B5:E5)</f>
        <v>10269.83333</v>
      </c>
      <c r="C14" s="6"/>
      <c r="D14" s="6"/>
      <c r="E14" s="6"/>
      <c r="F1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22.71"/>
    <col customWidth="1" min="3" max="3" width="13.0"/>
    <col customWidth="1" min="4" max="4" width="13.86"/>
    <col customWidth="1" min="5" max="5" width="20.29"/>
    <col customWidth="1" min="6" max="6" width="18.43"/>
    <col customWidth="1" min="7" max="7" width="19.14"/>
  </cols>
  <sheetData>
    <row r="1">
      <c r="A1" s="1" t="s">
        <v>0</v>
      </c>
    </row>
    <row r="3">
      <c r="A3" s="2" t="s">
        <v>1</v>
      </c>
      <c r="B3" s="3" t="s">
        <v>2</v>
      </c>
    </row>
    <row r="4">
      <c r="A4" s="2" t="s">
        <v>4</v>
      </c>
      <c r="B4" s="3" t="s">
        <v>5</v>
      </c>
    </row>
    <row r="5">
      <c r="A5" s="2" t="s">
        <v>6</v>
      </c>
      <c r="B5" s="3" t="s">
        <v>7</v>
      </c>
    </row>
    <row r="7">
      <c r="A7" s="5" t="s">
        <v>8</v>
      </c>
      <c r="B7" s="7"/>
      <c r="C7" s="7"/>
      <c r="D7" s="7"/>
      <c r="E7" s="7"/>
      <c r="F7" s="7"/>
      <c r="G7" s="7"/>
    </row>
    <row r="8">
      <c r="A8" s="9" t="s">
        <v>9</v>
      </c>
      <c r="B8" s="9" t="s">
        <v>14</v>
      </c>
      <c r="C8" s="9" t="s">
        <v>15</v>
      </c>
    </row>
    <row r="9">
      <c r="A9" s="3" t="s">
        <v>17</v>
      </c>
      <c r="B9" s="3" t="s">
        <v>17</v>
      </c>
      <c r="C9" s="11">
        <v>10269.8333332</v>
      </c>
    </row>
    <row r="11">
      <c r="A11" s="5" t="s">
        <v>19</v>
      </c>
      <c r="B11" s="7"/>
      <c r="C11" s="7"/>
      <c r="D11" s="7"/>
      <c r="E11" s="7"/>
      <c r="F11" s="7"/>
      <c r="G11" s="7"/>
    </row>
    <row r="12">
      <c r="A12" s="9" t="s">
        <v>9</v>
      </c>
      <c r="B12" s="9" t="s">
        <v>14</v>
      </c>
      <c r="C12" s="9" t="s">
        <v>15</v>
      </c>
      <c r="D12" s="9" t="s">
        <v>21</v>
      </c>
      <c r="E12" s="9" t="s">
        <v>22</v>
      </c>
      <c r="F12" s="9" t="s">
        <v>23</v>
      </c>
      <c r="G12" s="9" t="s">
        <v>24</v>
      </c>
    </row>
    <row r="13">
      <c r="A13" s="3" t="s">
        <v>25</v>
      </c>
      <c r="B13" s="3" t="s">
        <v>25</v>
      </c>
      <c r="C13" s="11">
        <v>69.83333333</v>
      </c>
      <c r="D13" s="11">
        <v>0.0</v>
      </c>
      <c r="E13" s="11">
        <v>59.0</v>
      </c>
      <c r="F13" s="11">
        <v>17.000000000000004</v>
      </c>
      <c r="G13" s="11">
        <v>6.0</v>
      </c>
    </row>
    <row r="14">
      <c r="A14" s="3" t="s">
        <v>27</v>
      </c>
      <c r="B14" s="3" t="s">
        <v>27</v>
      </c>
      <c r="C14" s="11">
        <v>0.0</v>
      </c>
      <c r="D14" s="11">
        <v>-11.33333333</v>
      </c>
      <c r="E14" s="11">
        <v>42.0</v>
      </c>
      <c r="F14" s="11">
        <v>11.333333333333334</v>
      </c>
      <c r="G14" s="3" t="s">
        <v>30</v>
      </c>
    </row>
    <row r="15">
      <c r="A15" s="3" t="s">
        <v>31</v>
      </c>
      <c r="B15" s="3" t="s">
        <v>31</v>
      </c>
      <c r="C15" s="11">
        <v>0.0</v>
      </c>
      <c r="D15" s="11">
        <v>-6.0</v>
      </c>
      <c r="E15" s="11">
        <v>53.0</v>
      </c>
      <c r="F15" s="11">
        <v>6.0</v>
      </c>
      <c r="G15" s="3" t="s">
        <v>30</v>
      </c>
    </row>
    <row r="16">
      <c r="A16" s="3" t="s">
        <v>32</v>
      </c>
      <c r="B16" s="3" t="s">
        <v>32</v>
      </c>
      <c r="C16" s="11">
        <v>323.66666667</v>
      </c>
      <c r="D16" s="11">
        <v>0.0</v>
      </c>
      <c r="E16" s="11">
        <v>19.0</v>
      </c>
      <c r="F16" s="11">
        <v>8.500000000000002</v>
      </c>
      <c r="G16" s="11">
        <v>4.250000000000001</v>
      </c>
    </row>
    <row r="18">
      <c r="A18" s="5" t="s">
        <v>33</v>
      </c>
      <c r="B18" s="7"/>
      <c r="C18" s="7"/>
      <c r="D18" s="7"/>
      <c r="E18" s="7"/>
      <c r="F18" s="7"/>
      <c r="G18" s="7"/>
    </row>
    <row r="19">
      <c r="A19" s="9" t="s">
        <v>9</v>
      </c>
      <c r="B19" s="9" t="s">
        <v>14</v>
      </c>
      <c r="C19" s="9" t="s">
        <v>15</v>
      </c>
      <c r="D19" s="9" t="s">
        <v>34</v>
      </c>
      <c r="E19" s="9" t="s">
        <v>35</v>
      </c>
      <c r="F19" s="9" t="s">
        <v>23</v>
      </c>
      <c r="G19" s="9" t="s">
        <v>24</v>
      </c>
    </row>
    <row r="20">
      <c r="A20" s="3" t="s">
        <v>36</v>
      </c>
      <c r="B20" s="3" t="s">
        <v>36</v>
      </c>
      <c r="C20" s="11">
        <v>867.16666667</v>
      </c>
      <c r="D20" s="11">
        <v>0.0</v>
      </c>
      <c r="E20" s="11">
        <v>0.0</v>
      </c>
      <c r="F20" s="11">
        <v>867.1666666666666</v>
      </c>
      <c r="G20" s="3" t="s">
        <v>30</v>
      </c>
    </row>
    <row r="21">
      <c r="A21" s="3" t="s">
        <v>37</v>
      </c>
      <c r="B21" s="3" t="s">
        <v>37</v>
      </c>
      <c r="C21" s="11">
        <v>1.0E-8</v>
      </c>
      <c r="D21" s="11">
        <v>-2.83333333</v>
      </c>
      <c r="E21" s="11">
        <v>0.0</v>
      </c>
      <c r="F21" s="11">
        <v>485.50000000000006</v>
      </c>
      <c r="G21" s="11">
        <v>74.5</v>
      </c>
    </row>
    <row r="22">
      <c r="A22" s="3" t="s">
        <v>38</v>
      </c>
      <c r="B22" s="3" t="s">
        <v>38</v>
      </c>
      <c r="C22" s="11">
        <v>1.0E-8</v>
      </c>
      <c r="D22" s="11">
        <v>-10.5</v>
      </c>
      <c r="E22" s="11">
        <v>0.0</v>
      </c>
      <c r="F22" s="11">
        <v>49.666666666666664</v>
      </c>
      <c r="G22" s="11">
        <v>323.6666666666667</v>
      </c>
    </row>
    <row r="23">
      <c r="A23" s="3" t="s">
        <v>39</v>
      </c>
      <c r="B23" s="3" t="s">
        <v>39</v>
      </c>
      <c r="C23" s="11">
        <v>148.99999999</v>
      </c>
      <c r="D23" s="11">
        <v>0.0</v>
      </c>
      <c r="E23" s="11">
        <v>0.0</v>
      </c>
      <c r="F23" s="11">
        <v>149.0</v>
      </c>
      <c r="G23" s="3" t="s">
        <v>30</v>
      </c>
    </row>
    <row r="24">
      <c r="A24" s="3" t="s">
        <v>40</v>
      </c>
      <c r="B24" s="3" t="s">
        <v>40</v>
      </c>
      <c r="C24" s="11">
        <v>153.5</v>
      </c>
      <c r="D24" s="11">
        <v>0.0</v>
      </c>
      <c r="E24" s="11">
        <v>0.0</v>
      </c>
      <c r="F24" s="11">
        <v>153.5</v>
      </c>
      <c r="G24" s="3" t="s">
        <v>30</v>
      </c>
    </row>
  </sheetData>
  <drawing r:id="rId1"/>
</worksheet>
</file>